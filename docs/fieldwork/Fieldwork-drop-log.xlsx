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op log" sheetId="1" state="visible" r:id="rId3"/>
    <sheet name="How a business is checked" sheetId="2" state="visible" r:id="rId4"/>
  </sheets>
  <definedNames>
    <definedName function="false" hidden="false" localSheetId="0" name="_xlnm.Print_Area" vbProcedure="false">'Drop log'!$A$1:$F$33</definedName>
    <definedName function="false" hidden="true" localSheetId="0" name="_xlnm._FilterDatabase" vbProcedure="false">'Drop log'!$A$5:$F$21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<sst xmlns="http://schemas.openxmlformats.org/spreadsheetml/2006/main" count="123" uniqueCount="109">
  <si>
    <t xml:space="preserve">The drop log</t>
  </si>
  <si>
    <t xml:space="preserve">Businesses found in Accra in August 2026 that were not sent to the client, and the reason for each.</t>
  </si>
  <si>
    <t xml:space="preserve">Trades only, no names. These businesses were never delivered to anyone, and calling a named company dead in public is not something a quiet profile justifies.</t>
  </si>
  <si>
    <t xml:space="preserve">#</t>
  </si>
  <si>
    <t xml:space="preserve">Trade</t>
  </si>
  <si>
    <t xml:space="preserve">Verdict</t>
  </si>
  <si>
    <t xml:space="preserve">Newest dated signal</t>
  </si>
  <si>
    <t xml:space="preserve">What made it look worth calling</t>
  </si>
  <si>
    <t xml:space="preserve">Why it failed</t>
  </si>
  <si>
    <t xml:space="preserve">Phone accessories wholesaler</t>
  </si>
  <si>
    <t xml:space="preserve">Dropped</t>
  </si>
  <si>
    <t xml:space="preserve">11 months</t>
  </si>
  <si>
    <t xml:space="preserve">30,400 views on one post. Good trading location.</t>
  </si>
  <si>
    <t xml:space="preserve">Strong volume signal once. Nothing recent.</t>
  </si>
  <si>
    <t xml:space="preserve">Imported grocery wholesaler</t>
  </si>
  <si>
    <t xml:space="preserve">About 1 year</t>
  </si>
  <si>
    <t xml:space="preserve">4.1 from 34 Google reviews.</t>
  </si>
  <si>
    <t xml:space="preserve">No evidence of recent trading.</t>
  </si>
  <si>
    <t xml:space="preserve">Cosmetics wholesaler</t>
  </si>
  <si>
    <t xml:space="preserve">7 months</t>
  </si>
  <si>
    <t xml:space="preserve">4.3 from 8 Google reviews.</t>
  </si>
  <si>
    <t xml:space="preserve">Profile unclaimed, so nobody is managing it. No owner activity at all.</t>
  </si>
  <si>
    <t xml:space="preserve">Auto parts</t>
  </si>
  <si>
    <t xml:space="preserve">None found</t>
  </si>
  <si>
    <t xml:space="preserve">4.2 from 248 Google reviews, which is a lot.</t>
  </si>
  <si>
    <t xml:space="preserve">Not a company. It is a listing for a whole market area, so there is nobody to call.</t>
  </si>
  <si>
    <t xml:space="preserve">Bags and shoes wholesaler</t>
  </si>
  <si>
    <t xml:space="preserve">9 months</t>
  </si>
  <si>
    <t xml:space="preserve">4,200 views. Offered payment on delivery within Accra, which is exactly the right signal.</t>
  </si>
  <si>
    <t xml:space="preserve">Right kind of business, no sign it is still running.</t>
  </si>
  <si>
    <t xml:space="preserve">Building materials showroom</t>
  </si>
  <si>
    <t xml:space="preserve">10 months</t>
  </si>
  <si>
    <t xml:space="preserve">7,600 views. Fixed premises.</t>
  </si>
  <si>
    <t xml:space="preserve">No recent activity.</t>
  </si>
  <si>
    <t xml:space="preserve">Kitchenware retailer</t>
  </si>
  <si>
    <t xml:space="preserve">9 April 2026</t>
  </si>
  <si>
    <t xml:space="preserve">Indexed post, real shop.</t>
  </si>
  <si>
    <t xml:space="preserve">Nearly five months quiet by the time it was checked.</t>
  </si>
  <si>
    <t xml:space="preserve">Wholesale delivery service</t>
  </si>
  <si>
    <t xml:space="preserve">Disqualified</t>
  </si>
  <si>
    <t xml:space="preserve">3 months</t>
  </si>
  <si>
    <t xml:space="preserve">1,400 views.</t>
  </si>
  <si>
    <t xml:space="preserve">A competitor, not a prospect. Logged as market intelligence instead.</t>
  </si>
  <si>
    <t xml:space="preserve">Logistics and delivery firm</t>
  </si>
  <si>
    <t xml:space="preserve">Current</t>
  </si>
  <si>
    <t xml:space="preserve">Advertising for dispatch riders on Jiji, so they are growing.</t>
  </si>
  <si>
    <t xml:space="preserve">A competitor, and one expanding on the client's patch. Worth the client knowing, not worth calling.</t>
  </si>
  <si>
    <t xml:space="preserve">General wholesale trader</t>
  </si>
  <si>
    <t xml:space="preserve">1 week</t>
  </si>
  <si>
    <t xml:space="preserve">Surfaced on an Accra search, posted a week ago.</t>
  </si>
  <si>
    <t xml:space="preserve">Wrong country. Nigerian seller. Now filtered out of every search.</t>
  </si>
  <si>
    <t xml:space="preserve">Held</t>
  </si>
  <si>
    <t xml:space="preserve">4 months</t>
  </si>
  <si>
    <t xml:space="preserve">7,000 views. Advertises orders 24 hours a day by call or WhatsApp.</t>
  </si>
  <si>
    <t xml:space="preserve">Good fundamentals, stale signal. Needs a phone call to settle it.</t>
  </si>
  <si>
    <t xml:space="preserve">Rice and provisions wholesaler</t>
  </si>
  <si>
    <t xml:space="preserve">2 months</t>
  </si>
  <si>
    <t xml:space="preserve">3,200 views. Delivery and bulk pricing offered on request.</t>
  </si>
  <si>
    <t xml:space="preserve">Needs a ring test.</t>
  </si>
  <si>
    <t xml:space="preserve">Foodservice distributor</t>
  </si>
  <si>
    <t xml:space="preserve">13 May 2026</t>
  </si>
  <si>
    <t xml:space="preserve">1,873 followers, 591 posts, a published next day delivery promise, supplies schools, hotels and hospitals.</t>
  </si>
  <si>
    <t xml:space="preserve">Fourteen weeks silent. A professional presence is not the same as a trading one.</t>
  </si>
  <si>
    <t xml:space="preserve">Pharmaceutical wholesaler</t>
  </si>
  <si>
    <t xml:space="preserve">4.2 from 65 reviews. Two branches, one open 24 hours.</t>
  </si>
  <si>
    <t xml:space="preserve">Also runs its own warehousing, so it may be a competitor rather than a customer. Two questions to settle, not one.</t>
  </si>
  <si>
    <t xml:space="preserve">Speciality food distributor</t>
  </si>
  <si>
    <t xml:space="preserve">April 2018 on its own site</t>
  </si>
  <si>
    <t xml:space="preserve">4.1 from 52 reviews. National distribution across retail, wholesale and foodservice.</t>
  </si>
  <si>
    <t xml:space="preserve">Nothing digital touched in years. Almost certainly still trading, and unprovable from a desk.</t>
  </si>
  <si>
    <t xml:space="preserve">Beauty and skincare wholesaler</t>
  </si>
  <si>
    <t xml:space="preserve">Held, then reversed</t>
  </si>
  <si>
    <t xml:space="preserve">8 months</t>
  </si>
  <si>
    <t xml:space="preserve">Claims shipping to more than a thousand retailers on its own trade site.</t>
  </si>
  <si>
    <t xml:space="preserve">Held in week one on this evidence. Found in week two trading fortnightly on a separate wholesale account. The check was wrong and this is the correction.</t>
  </si>
  <si>
    <t xml:space="preserve">Sourced in week one</t>
  </si>
  <si>
    <t xml:space="preserve">Sent to the client</t>
  </si>
  <si>
    <t xml:space="preserve">Not sent</t>
  </si>
  <si>
    <t xml:space="preserve">Share that failed the check</t>
  </si>
  <si>
    <t xml:space="preserve">Listed on this log</t>
  </si>
  <si>
    <t xml:space="preserve">Dropped outright</t>
  </si>
  <si>
    <t xml:space="preserve">Disqualified as competitors or wrong country</t>
  </si>
  <si>
    <t xml:space="preserve">Held for a phone call</t>
  </si>
  <si>
    <t xml:space="preserve">Held, then reversed on a second look</t>
  </si>
  <si>
    <t xml:space="preserve">The log lists 16. The other 15 that were not sent were duplicates, near misses on the same business, or rows that never got far enough to be worth recording.</t>
  </si>
  <si>
    <t xml:space="preserve">The thirty day check</t>
  </si>
  <si>
    <t xml:space="preserve">The rule</t>
  </si>
  <si>
    <t xml:space="preserve">A business goes on the sheet only if it showed a dated sign of life in the previous thirty days. Not a listing, not a website, not a follower count. Something it did, on a date that can be read and checked.</t>
  </si>
  <si>
    <t xml:space="preserve">Strongest evidence first</t>
  </si>
  <si>
    <t xml:space="preserve">1</t>
  </si>
  <si>
    <t xml:space="preserve">Confirmed by this business, on a Google profile. The owner verifying their own listing. The best signal there is.</t>
  </si>
  <si>
    <t xml:space="preserve">2</t>
  </si>
  <si>
    <t xml:space="preserve">An update the owner published to their own profile.</t>
  </si>
  <si>
    <t xml:space="preserve">3</t>
  </si>
  <si>
    <t xml:space="preserve">A new photo on the profile, shown as Latest N ago.</t>
  </si>
  <si>
    <t xml:space="preserve">4</t>
  </si>
  <si>
    <t xml:space="preserve">An Instagram or TikTok post date. Exact, and readable in the page itself.</t>
  </si>
  <si>
    <t xml:space="preserve">5</t>
  </si>
  <si>
    <t xml:space="preserve">The newest customer review. Weakest of the five, because a review proves a customer came once, not that the place is open now.</t>
  </si>
  <si>
    <t xml:space="preserve">Two things that mean nothing</t>
  </si>
  <si>
    <t xml:space="preserve">Claim this business on a Google profile means nobody is managing it, which is a reliable negative. A footer showing the current year is generated by the website software and would say 2026 on a site last touched in 2019. Three sites in this sample did exactly that.</t>
  </si>
  <si>
    <t xml:space="preserve">Two traps</t>
  </si>
  <si>
    <t xml:space="preserve">Pinned posts sit first in an Instagram grid, so the top tile is often old. Reading it as the newest post once made a fourteen week old account look forty nine weeks dead. And a Google Maps search on a phone number lands straight on the business, but only for mobile numbers. Landlines starting 030 need a name and location search instead.</t>
  </si>
  <si>
    <t xml:space="preserve">The ceiling, stated plainly</t>
  </si>
  <si>
    <t xml:space="preserve">About thirty per cent of businesses can be cleared from a desk. The rest need somebody to ring them. That is not a tooling problem waiting to be solved, it is the shape of this market, and it is why calling is part of the service rather than an extra.</t>
  </si>
  <si>
    <t xml:space="preserve">Where the method was wrong</t>
  </si>
  <si>
    <t xml:space="preserve">The last row of the log is a business held back in week one on an eight month old signal, then found in week two trading every fortnight under a separate wholesale account. It was the strongest prospect in the pool. Looking for a second account before writing anything off is now part of the routine.</t>
  </si>
  <si>
    <t xml:space="preserve">Questions</t>
  </si>
  <si>
    <t xml:space="preserve">Ernest, Quadem Digital, ernest@quademdigital.com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</si>
</sst>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3A2E"/>
      <name val="Arial"/>
      <family val="0"/>
      <charset val="1"/>
    </font>
    <font>
      <b val="true"/>
      <sz val="10"/>
      <color rgb="FF8A6D1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6D1F"/>
          <bgColor rgb="FF000000"/>
        </patternFill>
      </fill>
    </dxf>
    <dxf>
      <fill>
        <patternFill patternType="solid">
          <fgColor rgb="FF9C3A2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C3A2E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42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5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0" hidden="false" customHeight="true" outlineLevel="0" collapsed="false">
      <c r="A6" s="5" t="n">
        <v>1</v>
      </c>
      <c r="B6" s="6" t="s">
        <v>9</v>
      </c>
      <c r="C6" s="7" t="s">
        <v>10</v>
      </c>
      <c r="D6" s="6" t="s">
        <v>11</v>
      </c>
      <c r="E6" s="6" t="s">
        <v>12</v>
      </c>
      <c r="F6" s="6" t="s">
        <v>13</v>
      </c>
    </row>
    <row r="7" customFormat="false" ht="15" hidden="false" customHeight="true" outlineLevel="0" collapsed="false">
      <c r="A7" s="8" t="n">
        <v>2</v>
      </c>
      <c r="B7" s="9" t="s">
        <v>14</v>
      </c>
      <c r="C7" s="10" t="s">
        <v>10</v>
      </c>
      <c r="D7" s="9" t="s">
        <v>15</v>
      </c>
      <c r="E7" s="9" t="s">
        <v>16</v>
      </c>
      <c r="F7" s="9" t="s">
        <v>17</v>
      </c>
    </row>
    <row r="8" customFormat="false" ht="30" hidden="false" customHeight="true" outlineLevel="0" collapsed="false">
      <c r="A8" s="5" t="n">
        <v>3</v>
      </c>
      <c r="B8" s="6" t="s">
        <v>18</v>
      </c>
      <c r="C8" s="7" t="s">
        <v>10</v>
      </c>
      <c r="D8" s="6" t="s">
        <v>19</v>
      </c>
      <c r="E8" s="6" t="s">
        <v>20</v>
      </c>
      <c r="F8" s="6" t="s">
        <v>21</v>
      </c>
    </row>
    <row r="9" customFormat="false" ht="30" hidden="false" customHeight="true" outlineLevel="0" collapsed="false">
      <c r="A9" s="8" t="n">
        <v>4</v>
      </c>
      <c r="B9" s="9" t="s">
        <v>22</v>
      </c>
      <c r="C9" s="10" t="s">
        <v>10</v>
      </c>
      <c r="D9" s="9" t="s">
        <v>23</v>
      </c>
      <c r="E9" s="9" t="s">
        <v>24</v>
      </c>
      <c r="F9" s="9" t="s">
        <v>25</v>
      </c>
    </row>
    <row r="10" customFormat="false" ht="45" hidden="false" customHeight="true" outlineLevel="0" collapsed="false">
      <c r="A10" s="5" t="n">
        <v>5</v>
      </c>
      <c r="B10" s="6" t="s">
        <v>26</v>
      </c>
      <c r="C10" s="7" t="s">
        <v>10</v>
      </c>
      <c r="D10" s="6" t="s">
        <v>27</v>
      </c>
      <c r="E10" s="6" t="s">
        <v>28</v>
      </c>
      <c r="F10" s="6" t="s">
        <v>29</v>
      </c>
    </row>
    <row r="11" customFormat="false" ht="15" hidden="false" customHeight="true" outlineLevel="0" collapsed="false">
      <c r="A11" s="8" t="n">
        <v>6</v>
      </c>
      <c r="B11" s="9" t="s">
        <v>30</v>
      </c>
      <c r="C11" s="10" t="s">
        <v>10</v>
      </c>
      <c r="D11" s="9" t="s">
        <v>31</v>
      </c>
      <c r="E11" s="9" t="s">
        <v>32</v>
      </c>
      <c r="F11" s="9" t="s">
        <v>33</v>
      </c>
    </row>
    <row r="12" customFormat="false" ht="30" hidden="false" customHeight="true" outlineLevel="0" collapsed="false">
      <c r="A12" s="5" t="n">
        <v>7</v>
      </c>
      <c r="B12" s="6" t="s">
        <v>34</v>
      </c>
      <c r="C12" s="7" t="s">
        <v>10</v>
      </c>
      <c r="D12" s="6" t="s">
        <v>35</v>
      </c>
      <c r="E12" s="6" t="s">
        <v>36</v>
      </c>
      <c r="F12" s="6" t="s">
        <v>37</v>
      </c>
    </row>
    <row r="13" customFormat="false" ht="30" hidden="false" customHeight="true" outlineLevel="0" collapsed="false">
      <c r="A13" s="8" t="n">
        <v>8</v>
      </c>
      <c r="B13" s="9" t="s">
        <v>38</v>
      </c>
      <c r="C13" s="10" t="s">
        <v>39</v>
      </c>
      <c r="D13" s="9" t="s">
        <v>40</v>
      </c>
      <c r="E13" s="9" t="s">
        <v>41</v>
      </c>
      <c r="F13" s="9" t="s">
        <v>42</v>
      </c>
    </row>
    <row r="14" customFormat="false" ht="45" hidden="false" customHeight="true" outlineLevel="0" collapsed="false">
      <c r="A14" s="5" t="n">
        <v>9</v>
      </c>
      <c r="B14" s="6" t="s">
        <v>43</v>
      </c>
      <c r="C14" s="7" t="s">
        <v>39</v>
      </c>
      <c r="D14" s="6" t="s">
        <v>44</v>
      </c>
      <c r="E14" s="6" t="s">
        <v>45</v>
      </c>
      <c r="F14" s="6" t="s">
        <v>46</v>
      </c>
    </row>
    <row r="15" customFormat="false" ht="30" hidden="false" customHeight="true" outlineLevel="0" collapsed="false">
      <c r="A15" s="8" t="n">
        <v>10</v>
      </c>
      <c r="B15" s="9" t="s">
        <v>47</v>
      </c>
      <c r="C15" s="10" t="s">
        <v>39</v>
      </c>
      <c r="D15" s="9" t="s">
        <v>48</v>
      </c>
      <c r="E15" s="9" t="s">
        <v>49</v>
      </c>
      <c r="F15" s="9" t="s">
        <v>50</v>
      </c>
    </row>
    <row r="16" customFormat="false" ht="30" hidden="false" customHeight="true" outlineLevel="0" collapsed="false">
      <c r="A16" s="5" t="n">
        <v>11</v>
      </c>
      <c r="B16" s="6" t="s">
        <v>18</v>
      </c>
      <c r="C16" s="11" t="s">
        <v>51</v>
      </c>
      <c r="D16" s="6" t="s">
        <v>52</v>
      </c>
      <c r="E16" s="6" t="s">
        <v>53</v>
      </c>
      <c r="F16" s="6" t="s">
        <v>54</v>
      </c>
    </row>
    <row r="17" customFormat="false" ht="30" hidden="false" customHeight="true" outlineLevel="0" collapsed="false">
      <c r="A17" s="8" t="n">
        <v>12</v>
      </c>
      <c r="B17" s="9" t="s">
        <v>55</v>
      </c>
      <c r="C17" s="12" t="s">
        <v>51</v>
      </c>
      <c r="D17" s="9" t="s">
        <v>56</v>
      </c>
      <c r="E17" s="9" t="s">
        <v>57</v>
      </c>
      <c r="F17" s="9" t="s">
        <v>58</v>
      </c>
    </row>
    <row r="18" customFormat="false" ht="45" hidden="false" customHeight="true" outlineLevel="0" collapsed="false">
      <c r="A18" s="5" t="n">
        <v>13</v>
      </c>
      <c r="B18" s="6" t="s">
        <v>59</v>
      </c>
      <c r="C18" s="11" t="s">
        <v>51</v>
      </c>
      <c r="D18" s="6" t="s">
        <v>60</v>
      </c>
      <c r="E18" s="6" t="s">
        <v>61</v>
      </c>
      <c r="F18" s="6" t="s">
        <v>62</v>
      </c>
    </row>
    <row r="19" customFormat="false" ht="45" hidden="false" customHeight="true" outlineLevel="0" collapsed="false">
      <c r="A19" s="8" t="n">
        <v>14</v>
      </c>
      <c r="B19" s="9" t="s">
        <v>63</v>
      </c>
      <c r="C19" s="12" t="s">
        <v>51</v>
      </c>
      <c r="D19" s="9" t="s">
        <v>40</v>
      </c>
      <c r="E19" s="9" t="s">
        <v>64</v>
      </c>
      <c r="F19" s="9" t="s">
        <v>65</v>
      </c>
    </row>
    <row r="20" customFormat="false" ht="45" hidden="false" customHeight="true" outlineLevel="0" collapsed="false">
      <c r="A20" s="5" t="n">
        <v>15</v>
      </c>
      <c r="B20" s="6" t="s">
        <v>66</v>
      </c>
      <c r="C20" s="11" t="s">
        <v>51</v>
      </c>
      <c r="D20" s="6" t="s">
        <v>67</v>
      </c>
      <c r="E20" s="6" t="s">
        <v>68</v>
      </c>
      <c r="F20" s="6" t="s">
        <v>69</v>
      </c>
    </row>
    <row r="21" customFormat="false" ht="60" hidden="false" customHeight="true" outlineLevel="0" collapsed="false">
      <c r="A21" s="8" t="n">
        <v>16</v>
      </c>
      <c r="B21" s="9" t="s">
        <v>70</v>
      </c>
      <c r="C21" s="12" t="s">
        <v>71</v>
      </c>
      <c r="D21" s="9" t="s">
        <v>72</v>
      </c>
      <c r="E21" s="9" t="s">
        <v>73</v>
      </c>
      <c r="F21" s="9" t="s">
        <v>74</v>
      </c>
    </row>
    <row r="23" customFormat="false" ht="15" hidden="false" customHeight="false" outlineLevel="0" collapsed="false">
      <c r="B23" s="13" t="s">
        <v>75</v>
      </c>
      <c r="C23" s="13" t="n">
        <f aca="false">49</f>
        <v>49</v>
      </c>
    </row>
    <row r="24" customFormat="false" ht="15" hidden="false" customHeight="false" outlineLevel="0" collapsed="false">
      <c r="B24" s="14" t="s">
        <v>76</v>
      </c>
      <c r="C24" s="13" t="n">
        <f aca="false">18</f>
        <v>18</v>
      </c>
    </row>
    <row r="25" customFormat="false" ht="15" hidden="false" customHeight="false" outlineLevel="0" collapsed="false">
      <c r="B25" s="14" t="s">
        <v>77</v>
      </c>
      <c r="C25" s="13" t="n">
        <f aca="false">49-18</f>
        <v>31</v>
      </c>
    </row>
    <row r="26" customFormat="false" ht="15" hidden="false" customHeight="false" outlineLevel="0" collapsed="false">
      <c r="B26" s="14" t="s">
        <v>78</v>
      </c>
      <c r="C26" s="15" t="n">
        <f aca="false">(49-18)/49</f>
        <v>0.63265306122449</v>
      </c>
    </row>
    <row r="27" customFormat="false" ht="15" hidden="false" customHeight="false" outlineLevel="0" collapsed="false">
      <c r="B27" s="14" t="s">
        <v>79</v>
      </c>
      <c r="C27" s="13" t="n">
        <f aca="false">COUNTA(B6:B21)</f>
        <v>16</v>
      </c>
    </row>
    <row r="28" customFormat="false" ht="15" hidden="false" customHeight="false" outlineLevel="0" collapsed="false">
      <c r="B28" s="14" t="s">
        <v>80</v>
      </c>
      <c r="C28" s="13" t="n">
        <f aca="false">COUNTIF(C6:C21,"Dropped")</f>
        <v>7</v>
      </c>
    </row>
    <row r="29" customFormat="false" ht="15" hidden="false" customHeight="false" outlineLevel="0" collapsed="false">
      <c r="B29" s="14" t="s">
        <v>81</v>
      </c>
      <c r="C29" s="13" t="n">
        <f aca="false">COUNTIF(C6:C21,"Disqualified")</f>
        <v>3</v>
      </c>
    </row>
    <row r="30" customFormat="false" ht="15" hidden="false" customHeight="false" outlineLevel="0" collapsed="false">
      <c r="B30" s="14" t="s">
        <v>82</v>
      </c>
      <c r="C30" s="13" t="n">
        <f aca="false">COUNTIF(C6:C21,"Held")</f>
        <v>5</v>
      </c>
    </row>
    <row r="31" customFormat="false" ht="15" hidden="false" customHeight="false" outlineLevel="0" collapsed="false">
      <c r="B31" s="14" t="s">
        <v>83</v>
      </c>
      <c r="C31" s="13" t="n">
        <f aca="false">COUNTIF(C6:C21,"Held, then reversed")</f>
        <v>1</v>
      </c>
    </row>
    <row r="33" customFormat="false" ht="15" hidden="false" customHeight="false" outlineLevel="0" collapsed="false">
      <c r="B33" s="16" t="s">
        <v>84</v>
      </c>
    </row>
  </sheetData>
  <autoFilter ref="A5:F21"/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7" t="s">
        <v>85</v>
      </c>
      <c r="B1" s="18"/>
    </row>
    <row r="2" customFormat="false" ht="15" hidden="false" customHeight="false" outlineLevel="0" collapsed="false">
      <c r="A2" s="19"/>
      <c r="B2" s="18"/>
    </row>
    <row r="3" customFormat="false" ht="55.5" hidden="false" customHeight="true" outlineLevel="0" collapsed="false">
      <c r="A3" s="19" t="s">
        <v>86</v>
      </c>
      <c r="B3" s="18" t="s">
        <v>87</v>
      </c>
    </row>
    <row r="4" customFormat="false" ht="15" hidden="false" customHeight="false" outlineLevel="0" collapsed="false">
      <c r="A4" s="19"/>
      <c r="B4" s="18"/>
    </row>
    <row r="5" customFormat="false" ht="15" hidden="false" customHeight="false" outlineLevel="0" collapsed="false">
      <c r="A5" s="19" t="s">
        <v>88</v>
      </c>
      <c r="B5" s="18"/>
    </row>
    <row r="6" customFormat="false" ht="42" hidden="false" customHeight="true" outlineLevel="0" collapsed="false">
      <c r="A6" s="19" t="s">
        <v>89</v>
      </c>
      <c r="B6" s="18" t="s">
        <v>90</v>
      </c>
    </row>
    <row r="7" customFormat="false" ht="15" hidden="false" customHeight="false" outlineLevel="0" collapsed="false">
      <c r="A7" s="19" t="s">
        <v>91</v>
      </c>
      <c r="B7" s="18" t="s">
        <v>92</v>
      </c>
    </row>
    <row r="8" customFormat="false" ht="15" hidden="false" customHeight="false" outlineLevel="0" collapsed="false">
      <c r="A8" s="19" t="s">
        <v>93</v>
      </c>
      <c r="B8" s="18" t="s">
        <v>94</v>
      </c>
    </row>
    <row r="9" customFormat="false" ht="15" hidden="false" customHeight="false" outlineLevel="0" collapsed="false">
      <c r="A9" s="19" t="s">
        <v>95</v>
      </c>
      <c r="B9" s="18" t="s">
        <v>96</v>
      </c>
    </row>
    <row r="10" customFormat="false" ht="42" hidden="false" customHeight="true" outlineLevel="0" collapsed="false">
      <c r="A10" s="19" t="s">
        <v>97</v>
      </c>
      <c r="B10" s="18" t="s">
        <v>98</v>
      </c>
    </row>
    <row r="11" customFormat="false" ht="15" hidden="false" customHeight="false" outlineLevel="0" collapsed="false">
      <c r="A11" s="19"/>
      <c r="B11" s="18"/>
    </row>
    <row r="12" customFormat="false" ht="55.5" hidden="false" customHeight="true" outlineLevel="0" collapsed="false">
      <c r="A12" s="19" t="s">
        <v>99</v>
      </c>
      <c r="B12" s="18" t="s">
        <v>100</v>
      </c>
    </row>
    <row r="13" customFormat="false" ht="15" hidden="false" customHeight="false" outlineLevel="0" collapsed="false">
      <c r="A13" s="19"/>
      <c r="B13" s="18"/>
    </row>
    <row r="14" customFormat="false" ht="69.75" hidden="false" customHeight="true" outlineLevel="0" collapsed="false">
      <c r="A14" s="19" t="s">
        <v>101</v>
      </c>
      <c r="B14" s="18" t="s">
        <v>102</v>
      </c>
    </row>
    <row r="15" customFormat="false" ht="15" hidden="false" customHeight="false" outlineLevel="0" collapsed="false">
      <c r="A15" s="19"/>
      <c r="B15" s="18"/>
    </row>
    <row r="16" customFormat="false" ht="55.5" hidden="false" customHeight="true" outlineLevel="0" collapsed="false">
      <c r="A16" s="19" t="s">
        <v>103</v>
      </c>
      <c r="B16" s="18" t="s">
        <v>104</v>
      </c>
    </row>
    <row r="17" customFormat="false" ht="15" hidden="false" customHeight="false" outlineLevel="0" collapsed="false">
      <c r="A17" s="19"/>
      <c r="B17" s="18"/>
    </row>
    <row r="18" customFormat="false" ht="69.75" hidden="false" customHeight="true" outlineLevel="0" collapsed="false">
      <c r="A18" s="19" t="s">
        <v>105</v>
      </c>
      <c r="B18" s="18" t="s">
        <v>106</v>
      </c>
    </row>
    <row r="19" customFormat="false" ht="15" hidden="false" customHeight="false" outlineLevel="0" collapsed="false">
      <c r="A19" s="19"/>
      <c r="B19" s="18"/>
    </row>
    <row r="20" customFormat="false" ht="15" hidden="false" customHeight="false" outlineLevel="0" collapsed="false">
      <c r="A20" s="19" t="s">
        <v>107</v>
      </c>
      <c r="B20" s="18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2026-09-02T09:16:17Z</dcterms:created>
  <dc:creator>openpyxl</dc:creator>
  <dc:description/>
  <dc:language>en-US</dc:language>
  <cp:lastModifiedBy/>
  <dcterms:modified xsi:type="dcterms:W3CDTF">2026-09-02T09:16:17Z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